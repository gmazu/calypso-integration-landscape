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. Gantt BCI" sheetId="1" r:id="rId4"/>
    <sheet state="visible" name="7. GANTT SixManager" sheetId="2" r:id="rId5"/>
  </sheets>
  <definedNames/>
  <calcPr/>
  <extLst>
    <ext uri="GoogleSheetsCustomDataVersion2">
      <go:sheetsCustomData xmlns:go="http://customooxmlschemas.google.com/" r:id="rId6" roundtripDataChecksum="EW58Yjopn055YrnbjeCa1aLfluAvN6mt0ZPSckUBhuQ="/>
    </ext>
  </extLst>
</workbook>
</file>

<file path=xl/sharedStrings.xml><?xml version="1.0" encoding="utf-8"?>
<sst xmlns="http://schemas.openxmlformats.org/spreadsheetml/2006/main" count="405" uniqueCount="190">
  <si>
    <t>Fecha llegada máquinas</t>
  </si>
  <si>
    <t>Nota: edita B1 con la fecha real de llegada.</t>
  </si>
  <si>
    <t>Responsable / Área</t>
  </si>
  <si>
    <t>Fase</t>
  </si>
  <si>
    <t>Tarea</t>
  </si>
  <si>
    <t>Descripción</t>
  </si>
  <si>
    <t>Tiempo aproximado (días)</t>
  </si>
  <si>
    <t>Fecha inicio (desde llegada)</t>
  </si>
  <si>
    <t>Fecha fin (calculada)</t>
  </si>
  <si>
    <t>Fecha límite (hito)</t>
  </si>
  <si>
    <t>Dependencias / Inputs (IP, VLAN, AD, FW, ventanas, etc.)</t>
  </si>
  <si>
    <t>Fase 0 - Preparación</t>
  </si>
  <si>
    <t>Revisión programación general</t>
  </si>
  <si>
    <t>Revisar secuencia completa, dependencias y equipos involucrados.</t>
  </si>
  <si>
    <t>Proveedor</t>
  </si>
  <si>
    <t>Entrega de Caracteristicas HW</t>
  </si>
  <si>
    <t>Enviare inforaacion de HW</t>
  </si>
  <si>
    <t>Housing (Raul Dasa Oses)</t>
  </si>
  <si>
    <t>Fase 1 - Instalación física</t>
  </si>
  <si>
    <t>Recepción equipos</t>
  </si>
  <si>
    <t>Recepción física y validación de hardware.</t>
  </si>
  <si>
    <t>Confirmar ventana de entrega / guía de despacho / contacto DC</t>
  </si>
  <si>
    <t>Levantamiento U</t>
  </si>
  <si>
    <t>Cálculo de U separables e inseparables.</t>
  </si>
  <si>
    <t>Ficha técnica HW: altura U, rieles, profundidad, peso</t>
  </si>
  <si>
    <t>Asignación rack</t>
  </si>
  <si>
    <t>Definir rack y posiciones RU exactas.</t>
  </si>
  <si>
    <t>Capacidad racks / RU disponibles / plano DC</t>
  </si>
  <si>
    <t>Validación energía</t>
  </si>
  <si>
    <t>Validar consumo eléctrico por rack.</t>
  </si>
  <si>
    <t>Consumo por equipo (W), tipo de PSU, PDU disponible (A/B)</t>
  </si>
  <si>
    <t>Asigancion de IPs</t>
  </si>
  <si>
    <t>Equipoi Infra</t>
  </si>
  <si>
    <t>Solicitrdes VPN para proveedores</t>
  </si>
  <si>
    <t xml:space="preserve">VAlidar Accesos </t>
  </si>
  <si>
    <t>Acceso IPs y Puertos</t>
  </si>
  <si>
    <t>Instalacion Fisica Real</t>
  </si>
  <si>
    <t>Incluye ILO</t>
  </si>
  <si>
    <t>Despues o el mismo dia</t>
  </si>
  <si>
    <t>Cableado red productiva</t>
  </si>
  <si>
    <t>Conexión NICs productivas.</t>
  </si>
  <si>
    <t>Switch/puertos asignados, VLANs, patch cords, etiquetado</t>
  </si>
  <si>
    <t>Cableado administración</t>
  </si>
  <si>
    <t>Conexión iLO / iDRAC.</t>
  </si>
  <si>
    <t>Red de gestión, IPs OOB, puertos switch mgmt, credenciales iniciales</t>
  </si>
  <si>
    <t>Cableado Fibra</t>
  </si>
  <si>
    <t>Storage</t>
  </si>
  <si>
    <t>Encendido inicial</t>
  </si>
  <si>
    <t>Encendido y validación consola.</t>
  </si>
  <si>
    <t>Miguel Six BCI</t>
  </si>
  <si>
    <t>Fase 2 - Software base</t>
  </si>
  <si>
    <t>Instalación SO</t>
  </si>
  <si>
    <t>Instalación sistema operativo corporativo.</t>
  </si>
  <si>
    <t>Imagen SO corporativa, credenciales, ventana de instalación, acceso consola</t>
  </si>
  <si>
    <t>Fase 3 - Proveedor</t>
  </si>
  <si>
    <t>Instalación aplicativo</t>
  </si>
  <si>
    <t>Instalación software proveedor.</t>
  </si>
  <si>
    <t>Media/licencias proveedor, prerequisitos, cuentas de servicio</t>
  </si>
  <si>
    <t>Agentes monitoreo</t>
  </si>
  <si>
    <t>Instalación Nagios / Grafana.</t>
  </si>
  <si>
    <t>Paquetes/agentes, endpoint, puertos FW, alta en monitoreo</t>
  </si>
  <si>
    <t>Agente Splunk</t>
  </si>
  <si>
    <t>Instalación agente Splunk.</t>
  </si>
  <si>
    <t>Deployment server Splunk, puertos FW, token/certificados si aplica</t>
  </si>
  <si>
    <t>Agente seguridad</t>
  </si>
  <si>
    <t>Instalación antivirus y hardening.</t>
  </si>
  <si>
    <t>Consola AV, políticas, puertos FW, ventana con equipo seguridad</t>
  </si>
  <si>
    <t>Fase 4 - Integraciones SO</t>
  </si>
  <si>
    <t>AD / IAM</t>
  </si>
  <si>
    <t>Integración con Active Directory e IAM.</t>
  </si>
  <si>
    <t>OU/grupos AD, cuentas, reglas IAM, solicitudes de alta</t>
  </si>
  <si>
    <t>OAuth / API</t>
  </si>
  <si>
    <t>Integración OAuth y APIs.</t>
  </si>
  <si>
    <t>Endpoints, certificados, reglas FW/WAF, client_id/secret</t>
  </si>
  <si>
    <t>Fase 5 - Satélites</t>
  </si>
  <si>
    <t>MDP</t>
  </si>
  <si>
    <t>Integración sistema MDP.</t>
  </si>
  <si>
    <t>Conectividad, reglas FW, IPs origen/destino, validación con contraparte</t>
  </si>
  <si>
    <t>Nasdaq</t>
  </si>
  <si>
    <t>Integración Nasdaq.</t>
  </si>
  <si>
    <t>Fase 6 - QA</t>
  </si>
  <si>
    <t>Pruebas carga</t>
  </si>
  <si>
    <t>Pruebas funcionales y stress.</t>
  </si>
  <si>
    <t>Herramienta de carga, datos de prueba, ventana, umbrales, monitoreo activo</t>
  </si>
  <si>
    <t>Fase 7 - Entrega</t>
  </si>
  <si>
    <t>Entrega equipos</t>
  </si>
  <si>
    <t>Entrega formal y confirmación de responsabilidades.</t>
  </si>
  <si>
    <t>RACI/operación, runbooks, contactos on-call, criterios de aceptación</t>
  </si>
  <si>
    <t>En riesgo</t>
  </si>
  <si>
    <t>Nombre de la tarea</t>
  </si>
  <si>
    <t>Estado</t>
  </si>
  <si>
    <t>Asignado a</t>
  </si>
  <si>
    <t>Fecha de inicio</t>
  </si>
  <si>
    <t>Fecha de finalización</t>
  </si>
  <si>
    <t>Porcentaje completo</t>
  </si>
  <si>
    <t>Duración</t>
  </si>
  <si>
    <t>Predecesores</t>
  </si>
  <si>
    <t>Hablitación Plataforma Calypso Banco BCI</t>
  </si>
  <si>
    <t>En progreso</t>
  </si>
  <si>
    <t>Sixmanager</t>
  </si>
  <si>
    <t>82d</t>
  </si>
  <si>
    <t>Ambiente Pre Productivo</t>
  </si>
  <si>
    <t>Kick off y requerimientos</t>
  </si>
  <si>
    <t>1d</t>
  </si>
  <si>
    <t>Inicio formal del proyecto (Kick Off)</t>
  </si>
  <si>
    <t>Completo</t>
  </si>
  <si>
    <t>Sixmanager - BCI</t>
  </si>
  <si>
    <t>Kickoff realizado</t>
  </si>
  <si>
    <t>Habilitacion de infrastructura fisica (Pre requisitos)</t>
  </si>
  <si>
    <t>7d</t>
  </si>
  <si>
    <t>Recepcion de servidores DELL</t>
  </si>
  <si>
    <t>No se ha iniciado</t>
  </si>
  <si>
    <t>BCI</t>
  </si>
  <si>
    <t>Direccionamiento IP / VLAN / PORT</t>
  </si>
  <si>
    <t>Espacio en data center para nuevo HW (Ru's)</t>
  </si>
  <si>
    <t>Coordinacion de hardware a data center BCI</t>
  </si>
  <si>
    <t>Sixmanager, BCI</t>
  </si>
  <si>
    <t>Gestión de accesos vpn a Servidores</t>
  </si>
  <si>
    <t>Disponibilidad de puertas para conectividad</t>
  </si>
  <si>
    <t>Rackeo y conecticvidad de equipos en Aconcagua (Encendido y sanity boot)</t>
  </si>
  <si>
    <t>Rackeo y conecticvidad de equipos en Longovilo- 3er sitio (Encendido y sanity boot)</t>
  </si>
  <si>
    <t>Infraestructura instalada</t>
  </si>
  <si>
    <t>Plan de implementacion</t>
  </si>
  <si>
    <t>66d</t>
  </si>
  <si>
    <t>Revisión y levantamiento de infraestructura actual</t>
  </si>
  <si>
    <t>5d</t>
  </si>
  <si>
    <t>Diseño detallado de arquitectura preproductiva</t>
  </si>
  <si>
    <t>Aprobación de diseño por parte del cliente</t>
  </si>
  <si>
    <t>Prerrequisitos</t>
  </si>
  <si>
    <t>32d</t>
  </si>
  <si>
    <t>Entrega documento prerrequisitos</t>
  </si>
  <si>
    <t>Reglas de acceso (Permisos en firewall entre redes y hacia internet)</t>
  </si>
  <si>
    <t>3d</t>
  </si>
  <si>
    <t>Registros DNS requeridos (Subdominios, registros tipo A, Reversos)</t>
  </si>
  <si>
    <t>Accesos a servicios de red (Load Balancer / NTP)</t>
  </si>
  <si>
    <t>Validación de Prerrequisitos</t>
  </si>
  <si>
    <t>Generación de certificados</t>
  </si>
  <si>
    <t>Prerrequisitos entregados</t>
  </si>
  <si>
    <t>Habilitación OLVM y BD</t>
  </si>
  <si>
    <t>Instalación de Hypervisor</t>
  </si>
  <si>
    <t>2d</t>
  </si>
  <si>
    <t>Configuración de Networking</t>
  </si>
  <si>
    <t>Integración con redes SAN</t>
  </si>
  <si>
    <t>Despliegue de HostedEngine</t>
  </si>
  <si>
    <t>Integración con redes del cliente</t>
  </si>
  <si>
    <t>Creación de VMS utility Openshift (Bastión, Bootstrap)</t>
  </si>
  <si>
    <t>Habilitación BD Finalizada</t>
  </si>
  <si>
    <t>Habilitación Cluster Openshift Pre Productivo</t>
  </si>
  <si>
    <t>15d</t>
  </si>
  <si>
    <t>Creación de Bootstrap</t>
  </si>
  <si>
    <t>Despliegue Openshift Bare Metal</t>
  </si>
  <si>
    <t>Configuraciones Post Instalación</t>
  </si>
  <si>
    <t>Integración con redes de cliente</t>
  </si>
  <si>
    <t>Habilitación de operador CSI</t>
  </si>
  <si>
    <t>Pruebas Funcionales</t>
  </si>
  <si>
    <t>Documentación</t>
  </si>
  <si>
    <t>Sesión de entrega</t>
  </si>
  <si>
    <t>Cluster Preproductivo instalado</t>
  </si>
  <si>
    <t>Habilitación BBDD</t>
  </si>
  <si>
    <t>6d</t>
  </si>
  <si>
    <t>Creación de máquinas virtuales BBDD</t>
  </si>
  <si>
    <t>Incorporación de LUNS para servidores BBDD</t>
  </si>
  <si>
    <t>Instalación y configuración Base de datos Oracle</t>
  </si>
  <si>
    <t>Pruebas funcionales</t>
  </si>
  <si>
    <t>Integración de componentes</t>
  </si>
  <si>
    <t>5,5d</t>
  </si>
  <si>
    <t>Integración de OCP con B.D.</t>
  </si>
  <si>
    <t>0,5d</t>
  </si>
  <si>
    <t>45; 53</t>
  </si>
  <si>
    <t>Integración de OCP con Storage vía CSI</t>
  </si>
  <si>
    <t>Integración de OLVM con Storage</t>
  </si>
  <si>
    <t>Integración con Observabilidad y monitoreo de cliente (Nagios - Dynatrace)</t>
  </si>
  <si>
    <t>Integración Active Directory</t>
  </si>
  <si>
    <t>Integración con repositorio Git</t>
  </si>
  <si>
    <t>Integración con Respaldos de cliente</t>
  </si>
  <si>
    <t>Fin Etapa integración</t>
  </si>
  <si>
    <t>Despliegue y migracion de aplicaciones en DEV/UAT/INT</t>
  </si>
  <si>
    <t>Reunion de migracion</t>
  </si>
  <si>
    <t>Revisión de prerrequisitos</t>
  </si>
  <si>
    <t>Despliegue de aplicaciones en GIT</t>
  </si>
  <si>
    <t>Descarga de imagenes base</t>
  </si>
  <si>
    <t>Integracion y despliegue de aplicación sobre OCP</t>
  </si>
  <si>
    <t>Migracion de archivos YAML</t>
  </si>
  <si>
    <t>Migracion de base de datos</t>
  </si>
  <si>
    <t>Pruebas de aplicación</t>
  </si>
  <si>
    <t>Fin despliegue aplicación</t>
  </si>
  <si>
    <t>Cierre formal de la Fase 1</t>
  </si>
  <si>
    <t>Reunión de entrega de documentación y presentación de la solución</t>
  </si>
  <si>
    <t>Soporte post implementación (evolutivo)</t>
  </si>
  <si>
    <t>Cierre Proyecto Etapa Preproducción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</si>
</sst>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"/>
  </numFmts>
  <fonts count="11">
    <font>
      <sz val="11.0"/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Calibri"/>
      <scheme val="minor"/>
    </font>
    <font>
      <color theme="1"/>
      <name val="Arial"/>
    </font>
    <font>
      <color rgb="FFFFFFFF"/>
      <name val="Arial"/>
    </font>
    <font>
      <b/>
      <color rgb="FFFFFFFF"/>
      <name val="Arial"/>
    </font>
    <font>
      <sz val="8.0"/>
      <color rgb="FF888888"/>
      <name val="Arial"/>
    </font>
    <font>
      <color rgb="FF000000"/>
      <name val="Arial"/>
    </font>
    <font>
      <sz val="9.0"/>
      <color rgb="FF000000"/>
      <name val="Arial"/>
    </font>
    <font>
      <b/>
      <color rgb="FF000000"/>
      <name val="Arial"/>
    </font>
    <font>
      <b/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  <fill>
      <patternFill patternType="solid">
        <fgColor rgb="FF888888"/>
        <bgColor rgb="FF888888"/>
      </patternFill>
    </fill>
    <fill>
      <patternFill patternType="solid">
        <fgColor rgb="FFE5E5E5"/>
        <bgColor rgb="FFE5E5E5"/>
      </patternFill>
    </fill>
    <fill>
      <patternFill patternType="solid">
        <fgColor rgb="FF5FB3F9"/>
        <bgColor rgb="FF5FB3F9"/>
      </patternFill>
    </fill>
    <fill>
      <patternFill patternType="solid">
        <fgColor rgb="FFBDBDBD"/>
        <bgColor rgb="FFBDBDBD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164" xfId="0" applyAlignment="1" applyFont="1" applyNumberFormat="1">
      <alignment shrinkToFit="0" vertical="top" wrapText="1"/>
    </xf>
    <xf borderId="0" fillId="0" fontId="1" numFmtId="0" xfId="0" applyFont="1"/>
    <xf borderId="0" fillId="2" fontId="2" numFmtId="0" xfId="0" applyAlignment="1" applyFill="1" applyFont="1">
      <alignment shrinkToFit="0" vertical="top" wrapText="1"/>
    </xf>
    <xf borderId="0" fillId="0" fontId="1" numFmtId="164" xfId="0" applyFont="1" applyNumberFormat="1"/>
    <xf borderId="0" fillId="3" fontId="3" numFmtId="0" xfId="0" applyFill="1" applyFont="1"/>
    <xf borderId="0" fillId="4" fontId="4" numFmtId="0" xfId="0" applyAlignment="1" applyFill="1" applyFont="1">
      <alignment readingOrder="0"/>
    </xf>
    <xf borderId="0" fillId="4" fontId="5" numFmtId="0" xfId="0" applyAlignment="1" applyFont="1">
      <alignment readingOrder="0"/>
    </xf>
    <xf borderId="0" fillId="3" fontId="6" numFmtId="0" xfId="0" applyAlignment="1" applyFont="1">
      <alignment horizontal="right" readingOrder="0"/>
    </xf>
    <xf borderId="0" fillId="3" fontId="7" numFmtId="0" xfId="0" applyAlignment="1" applyFont="1">
      <alignment horizontal="center" shrinkToFit="0" vertical="top" wrapText="0"/>
    </xf>
    <xf borderId="0" fillId="3" fontId="7" numFmtId="0" xfId="0" applyAlignment="1" applyFont="1">
      <alignment horizontal="left" readingOrder="0" shrinkToFit="0" vertical="top" wrapText="0"/>
    </xf>
    <xf borderId="0" fillId="3" fontId="8" numFmtId="0" xfId="0" applyAlignment="1" applyFont="1">
      <alignment horizontal="left" readingOrder="0" shrinkToFit="0" vertical="top" wrapText="0"/>
    </xf>
    <xf borderId="0" fillId="5" fontId="8" numFmtId="0" xfId="0" applyAlignment="1" applyFill="1" applyFont="1">
      <alignment horizontal="left" readingOrder="0" shrinkToFit="0" vertical="top" wrapText="0"/>
    </xf>
    <xf borderId="0" fillId="3" fontId="7" numFmtId="165" xfId="0" applyAlignment="1" applyFont="1" applyNumberFormat="1">
      <alignment horizontal="left" readingOrder="0" shrinkToFit="0" vertical="top" wrapText="0"/>
    </xf>
    <xf borderId="0" fillId="3" fontId="7" numFmtId="9" xfId="0" applyAlignment="1" applyFont="1" applyNumberFormat="1">
      <alignment horizontal="right" readingOrder="0" shrinkToFit="0" vertical="top" wrapText="0"/>
    </xf>
    <xf borderId="0" fillId="3" fontId="8" numFmtId="0" xfId="0" applyAlignment="1" applyFont="1">
      <alignment horizontal="left" shrinkToFit="0" vertical="top" wrapText="0"/>
    </xf>
    <xf borderId="0" fillId="6" fontId="8" numFmtId="0" xfId="0" applyAlignment="1" applyFill="1" applyFont="1">
      <alignment horizontal="left" readingOrder="0" shrinkToFit="0" vertical="top" wrapText="0"/>
    </xf>
    <xf borderId="0" fillId="6" fontId="7" numFmtId="0" xfId="0" applyAlignment="1" applyFont="1">
      <alignment horizontal="left" vertical="top"/>
    </xf>
    <xf borderId="0" fillId="6" fontId="7" numFmtId="0" xfId="0" applyAlignment="1" applyFont="1">
      <alignment horizontal="left" shrinkToFit="0" vertical="top" wrapText="0"/>
    </xf>
    <xf borderId="0" fillId="6" fontId="8" numFmtId="165" xfId="0" applyAlignment="1" applyFont="1" applyNumberFormat="1">
      <alignment horizontal="left" readingOrder="0" shrinkToFit="0" vertical="top" wrapText="0"/>
    </xf>
    <xf borderId="0" fillId="6" fontId="8" numFmtId="9" xfId="0" applyAlignment="1" applyFont="1" applyNumberFormat="1">
      <alignment horizontal="right" readingOrder="0" shrinkToFit="0" vertical="top" wrapText="0"/>
    </xf>
    <xf borderId="0" fillId="7" fontId="7" numFmtId="0" xfId="0" applyAlignment="1" applyFill="1" applyFont="1">
      <alignment horizontal="center" shrinkToFit="0" vertical="top" wrapText="0"/>
    </xf>
    <xf borderId="0" fillId="7" fontId="8" numFmtId="0" xfId="0" applyAlignment="1" applyFont="1">
      <alignment horizontal="left" readingOrder="0" shrinkToFit="0" vertical="top" wrapText="0"/>
    </xf>
    <xf borderId="0" fillId="7" fontId="7" numFmtId="0" xfId="0" applyAlignment="1" applyFont="1">
      <alignment horizontal="left" readingOrder="0" vertical="top"/>
    </xf>
    <xf borderId="0" fillId="7" fontId="7" numFmtId="0" xfId="0" applyAlignment="1" applyFont="1">
      <alignment horizontal="left" readingOrder="0" shrinkToFit="0" vertical="top" wrapText="0"/>
    </xf>
    <xf borderId="0" fillId="7" fontId="8" numFmtId="165" xfId="0" applyAlignment="1" applyFont="1" applyNumberFormat="1">
      <alignment horizontal="left" readingOrder="0" shrinkToFit="0" vertical="top" wrapText="0"/>
    </xf>
    <xf borderId="0" fillId="7" fontId="8" numFmtId="9" xfId="0" applyAlignment="1" applyFont="1" applyNumberFormat="1">
      <alignment horizontal="right" readingOrder="0" shrinkToFit="0" vertical="top" wrapText="0"/>
    </xf>
    <xf borderId="0" fillId="7" fontId="8" numFmtId="0" xfId="0" applyAlignment="1" applyFont="1">
      <alignment horizontal="left" shrinkToFit="0" vertical="top" wrapText="0"/>
    </xf>
    <xf borderId="0" fillId="7" fontId="9" numFmtId="0" xfId="0" applyAlignment="1" applyFont="1">
      <alignment horizontal="left" readingOrder="0" shrinkToFit="0" vertical="top" wrapText="0"/>
    </xf>
    <xf borderId="0" fillId="7" fontId="9" numFmtId="0" xfId="0" applyAlignment="1" applyFont="1">
      <alignment horizontal="left" readingOrder="0" vertical="top"/>
    </xf>
    <xf borderId="0" fillId="7" fontId="10" numFmtId="165" xfId="0" applyAlignment="1" applyFont="1" applyNumberFormat="1">
      <alignment horizontal="left" readingOrder="0" shrinkToFit="0" vertical="top" wrapText="0"/>
    </xf>
    <xf borderId="0" fillId="7" fontId="10" numFmtId="9" xfId="0" applyAlignment="1" applyFont="1" applyNumberFormat="1">
      <alignment horizontal="right" readingOrder="0" shrinkToFit="0" vertical="top" wrapText="0"/>
    </xf>
    <xf borderId="0" fillId="7" fontId="10" numFmtId="0" xfId="0" applyAlignment="1" applyFont="1">
      <alignment horizontal="left" readingOrder="0" shrinkToFit="0" vertical="top" wrapText="0"/>
    </xf>
    <xf borderId="0" fillId="3" fontId="8" numFmtId="165" xfId="0" applyAlignment="1" applyFont="1" applyNumberFormat="1">
      <alignment horizontal="left" readingOrder="0" shrinkToFit="0" vertical="top" wrapText="0"/>
    </xf>
    <xf borderId="0" fillId="3" fontId="8" numFmtId="9" xfId="0" applyAlignment="1" applyFont="1" applyNumberFormat="1">
      <alignment horizontal="right" readingOrder="0" shrinkToFit="0" vertical="top" wrapText="0"/>
    </xf>
    <xf borderId="0" fillId="3" fontId="7" numFmtId="0" xfId="0" applyAlignment="1" applyFont="1">
      <alignment horizontal="left" readingOrder="0" vertical="top"/>
    </xf>
    <xf borderId="0" fillId="6" fontId="8" numFmtId="0" xfId="0" applyAlignment="1" applyFont="1">
      <alignment horizontal="left" shrinkToFit="0" vertical="top" wrapText="0"/>
    </xf>
    <xf borderId="0" fillId="7" fontId="9" numFmtId="0" xfId="0" applyAlignment="1" applyFont="1">
      <alignment horizontal="center" shrinkToFit="0" vertical="top" wrapText="0"/>
    </xf>
    <xf borderId="0" fillId="7" fontId="9" numFmtId="165" xfId="0" applyAlignment="1" applyFont="1" applyNumberFormat="1">
      <alignment horizontal="left" readingOrder="0" shrinkToFit="0" vertical="top" wrapText="0"/>
    </xf>
    <xf borderId="0" fillId="7" fontId="9" numFmtId="9" xfId="0" applyAlignment="1" applyFont="1" applyNumberFormat="1">
      <alignment horizontal="right" readingOrder="0" shrinkToFit="0" vertical="top" wrapText="0"/>
    </xf>
    <xf borderId="0" fillId="3" fontId="7" numFmtId="0" xfId="0" applyAlignment="1" applyFont="1">
      <alignment horizontal="right" shrinkToFit="0" vertical="top" wrapText="0"/>
    </xf>
    <xf borderId="0" fillId="3" fontId="7" numFmtId="0" xfId="0" applyAlignment="1" applyFont="1">
      <alignment horizontal="left" shrinkToFit="0" vertical="top" wrapText="0"/>
    </xf>
    <xf borderId="0" fillId="3" fontId="7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0.71"/>
    <col customWidth="1" min="2" max="2" width="26.86"/>
    <col customWidth="1" min="3" max="3" width="24.86"/>
    <col customWidth="1" min="4" max="4" width="52.57"/>
    <col customWidth="1" min="5" max="5" width="21.86"/>
    <col customWidth="1" min="6" max="6" width="22.86"/>
    <col customWidth="1" min="7" max="7" width="17.29"/>
    <col customWidth="1" min="8" max="8" width="15.43"/>
    <col customWidth="1" min="9" max="9" width="46.14"/>
  </cols>
  <sheetData>
    <row r="1">
      <c r="A1" s="1"/>
      <c r="B1" s="1" t="s">
        <v>0</v>
      </c>
      <c r="C1" s="2">
        <v>46063.0</v>
      </c>
      <c r="D1" s="1" t="s">
        <v>1</v>
      </c>
      <c r="E1" s="3"/>
      <c r="F1" s="3"/>
      <c r="G1" s="3"/>
      <c r="H1" s="3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1" t="s">
        <v>11</v>
      </c>
      <c r="C3" s="1" t="s">
        <v>12</v>
      </c>
      <c r="D3" s="1" t="s">
        <v>13</v>
      </c>
      <c r="E3" s="3">
        <v>0.5</v>
      </c>
      <c r="F3" s="5">
        <f>C1</f>
        <v>46063</v>
      </c>
      <c r="G3" s="5">
        <f>WORKDAY(F3,CEILING(E3,1)-1)</f>
        <v>46063</v>
      </c>
      <c r="H3" s="3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14</v>
      </c>
      <c r="B4" s="1" t="s">
        <v>15</v>
      </c>
      <c r="C4" s="1" t="s">
        <v>16</v>
      </c>
      <c r="D4" s="1"/>
      <c r="E4" s="3"/>
      <c r="F4" s="5"/>
      <c r="G4" s="5"/>
      <c r="H4" s="5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3">
        <v>0.5</v>
      </c>
      <c r="F5" s="5">
        <f>G3</f>
        <v>46063</v>
      </c>
      <c r="G5" s="5">
        <f t="shared" ref="G5:G8" si="1">WORKDAY(F5,CEILING(E5,1)-1)</f>
        <v>46063</v>
      </c>
      <c r="H5" s="5">
        <f>C1</f>
        <v>46063</v>
      </c>
      <c r="I5" s="1" t="s">
        <v>21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17</v>
      </c>
      <c r="B6" s="1" t="s">
        <v>18</v>
      </c>
      <c r="C6" s="1" t="s">
        <v>22</v>
      </c>
      <c r="D6" s="1" t="s">
        <v>23</v>
      </c>
      <c r="E6" s="3">
        <v>0.5</v>
      </c>
      <c r="F6" s="5">
        <f t="shared" ref="F6:F8" si="2">G5</f>
        <v>46063</v>
      </c>
      <c r="G6" s="5">
        <f t="shared" si="1"/>
        <v>46063</v>
      </c>
      <c r="H6" s="3"/>
      <c r="I6" s="1" t="s">
        <v>24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17</v>
      </c>
      <c r="B7" s="1" t="s">
        <v>18</v>
      </c>
      <c r="C7" s="1" t="s">
        <v>25</v>
      </c>
      <c r="D7" s="1" t="s">
        <v>26</v>
      </c>
      <c r="E7" s="3">
        <v>0.5</v>
      </c>
      <c r="F7" s="5">
        <f t="shared" si="2"/>
        <v>46063</v>
      </c>
      <c r="G7" s="5">
        <f t="shared" si="1"/>
        <v>46063</v>
      </c>
      <c r="H7" s="3"/>
      <c r="I7" s="1" t="s">
        <v>27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17</v>
      </c>
      <c r="B8" s="1" t="s">
        <v>18</v>
      </c>
      <c r="C8" s="1" t="s">
        <v>28</v>
      </c>
      <c r="D8" s="1" t="s">
        <v>29</v>
      </c>
      <c r="E8" s="3">
        <v>0.5</v>
      </c>
      <c r="F8" s="5">
        <f t="shared" si="2"/>
        <v>46063</v>
      </c>
      <c r="G8" s="5">
        <f t="shared" si="1"/>
        <v>46063</v>
      </c>
      <c r="H8" s="3"/>
      <c r="I8" s="1" t="s">
        <v>30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17</v>
      </c>
      <c r="B9" s="1" t="s">
        <v>18</v>
      </c>
      <c r="C9" s="1" t="s">
        <v>31</v>
      </c>
      <c r="D9" s="1"/>
      <c r="E9" s="3"/>
      <c r="F9" s="5"/>
      <c r="G9" s="5"/>
      <c r="H9" s="3"/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32</v>
      </c>
      <c r="B10" s="1" t="s">
        <v>33</v>
      </c>
      <c r="C10" s="1" t="s">
        <v>34</v>
      </c>
      <c r="D10" s="1" t="s">
        <v>35</v>
      </c>
      <c r="E10" s="3"/>
      <c r="F10" s="5"/>
      <c r="G10" s="5"/>
      <c r="H10" s="3"/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14</v>
      </c>
      <c r="B11" s="1" t="s">
        <v>18</v>
      </c>
      <c r="C11" s="1" t="s">
        <v>36</v>
      </c>
      <c r="D11" s="1" t="s">
        <v>37</v>
      </c>
      <c r="E11" s="3"/>
      <c r="F11" s="5"/>
      <c r="G11" s="5"/>
      <c r="H11" s="3"/>
      <c r="I11" s="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38</v>
      </c>
      <c r="B12" s="1" t="s">
        <v>18</v>
      </c>
      <c r="C12" s="1" t="s">
        <v>39</v>
      </c>
      <c r="D12" s="1" t="s">
        <v>40</v>
      </c>
      <c r="E12" s="3">
        <v>0.5</v>
      </c>
      <c r="F12" s="5">
        <f>G8</f>
        <v>46063</v>
      </c>
      <c r="G12" s="5">
        <f t="shared" ref="G12:G13" si="3">WORKDAY(F12,CEILING(E12,1)-1)</f>
        <v>46063</v>
      </c>
      <c r="H12" s="3"/>
      <c r="I12" s="1" t="s">
        <v>41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38</v>
      </c>
      <c r="B13" s="1" t="s">
        <v>18</v>
      </c>
      <c r="C13" s="1" t="s">
        <v>42</v>
      </c>
      <c r="D13" s="1" t="s">
        <v>43</v>
      </c>
      <c r="E13" s="3">
        <v>0.5</v>
      </c>
      <c r="F13" s="5">
        <f>G12</f>
        <v>46063</v>
      </c>
      <c r="G13" s="5">
        <f t="shared" si="3"/>
        <v>46063</v>
      </c>
      <c r="H13" s="3"/>
      <c r="I13" s="1" t="s">
        <v>44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38</v>
      </c>
      <c r="B14" s="1" t="s">
        <v>18</v>
      </c>
      <c r="C14" s="1" t="s">
        <v>45</v>
      </c>
      <c r="D14" s="1" t="s">
        <v>46</v>
      </c>
      <c r="E14" s="3"/>
      <c r="F14" s="5"/>
      <c r="G14" s="5"/>
      <c r="H14" s="3"/>
      <c r="I14" s="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14</v>
      </c>
      <c r="B15" s="1" t="s">
        <v>18</v>
      </c>
      <c r="C15" s="1" t="s">
        <v>47</v>
      </c>
      <c r="D15" s="1" t="s">
        <v>48</v>
      </c>
      <c r="E15" s="3">
        <v>0.5</v>
      </c>
      <c r="F15" s="5">
        <f>G13</f>
        <v>46063</v>
      </c>
      <c r="G15" s="5">
        <f>WORKDAY(F15,CEILING(E15,1)-1)</f>
        <v>46063</v>
      </c>
      <c r="H15" s="3"/>
      <c r="I15" s="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1"/>
      <c r="C16" s="1"/>
      <c r="D16" s="1"/>
      <c r="E16" s="3"/>
      <c r="F16" s="3"/>
      <c r="G16" s="3"/>
      <c r="H16" s="3"/>
      <c r="I16" s="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49</v>
      </c>
      <c r="B17" s="1" t="s">
        <v>50</v>
      </c>
      <c r="C17" s="1" t="s">
        <v>51</v>
      </c>
      <c r="D17" s="1" t="s">
        <v>52</v>
      </c>
      <c r="E17" s="3">
        <v>1.0</v>
      </c>
      <c r="F17" s="5">
        <f>G15</f>
        <v>46063</v>
      </c>
      <c r="G17" s="5">
        <f t="shared" ref="G17:G18" si="4">WORKDAY(F17,CEILING(E17,1)-1)</f>
        <v>46063</v>
      </c>
      <c r="H17" s="3"/>
      <c r="I17" s="1" t="s">
        <v>53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14</v>
      </c>
      <c r="B18" s="1" t="s">
        <v>54</v>
      </c>
      <c r="C18" s="1" t="s">
        <v>55</v>
      </c>
      <c r="D18" s="1" t="s">
        <v>56</v>
      </c>
      <c r="E18" s="3">
        <v>1.0</v>
      </c>
      <c r="F18" s="5">
        <f>G22</f>
        <v>46063</v>
      </c>
      <c r="G18" s="5">
        <f t="shared" si="4"/>
        <v>46063</v>
      </c>
      <c r="H18" s="3"/>
      <c r="I18" s="1" t="s">
        <v>57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1"/>
      <c r="C19" s="1"/>
      <c r="D19" s="1"/>
      <c r="E19" s="3"/>
      <c r="F19" s="5"/>
      <c r="G19" s="5"/>
      <c r="H19" s="3"/>
      <c r="I19" s="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49</v>
      </c>
      <c r="B20" s="1" t="s">
        <v>50</v>
      </c>
      <c r="C20" s="1" t="s">
        <v>58</v>
      </c>
      <c r="D20" s="1" t="s">
        <v>59</v>
      </c>
      <c r="E20" s="3">
        <v>0.5</v>
      </c>
      <c r="F20" s="5">
        <f>G17</f>
        <v>46063</v>
      </c>
      <c r="G20" s="5">
        <f t="shared" ref="G20:G22" si="5">WORKDAY(F20,CEILING(E20,1)-1)</f>
        <v>46063</v>
      </c>
      <c r="H20" s="3"/>
      <c r="I20" s="1" t="s">
        <v>60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 t="s">
        <v>49</v>
      </c>
      <c r="B21" s="1" t="s">
        <v>50</v>
      </c>
      <c r="C21" s="1" t="s">
        <v>61</v>
      </c>
      <c r="D21" s="1" t="s">
        <v>62</v>
      </c>
      <c r="E21" s="3">
        <v>0.5</v>
      </c>
      <c r="F21" s="5">
        <f t="shared" ref="F21:F22" si="6">G20</f>
        <v>46063</v>
      </c>
      <c r="G21" s="5">
        <f t="shared" si="5"/>
        <v>46063</v>
      </c>
      <c r="H21" s="3"/>
      <c r="I21" s="1" t="s">
        <v>63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 t="s">
        <v>49</v>
      </c>
      <c r="B22" s="1" t="s">
        <v>50</v>
      </c>
      <c r="C22" s="1" t="s">
        <v>64</v>
      </c>
      <c r="D22" s="1" t="s">
        <v>65</v>
      </c>
      <c r="E22" s="3">
        <v>0.5</v>
      </c>
      <c r="F22" s="5">
        <f t="shared" si="6"/>
        <v>46063</v>
      </c>
      <c r="G22" s="5">
        <f t="shared" si="5"/>
        <v>46063</v>
      </c>
      <c r="H22" s="3"/>
      <c r="I22" s="1" t="s">
        <v>66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1"/>
      <c r="C23" s="1"/>
      <c r="D23" s="1"/>
      <c r="E23" s="3"/>
      <c r="F23" s="5"/>
      <c r="G23" s="5"/>
      <c r="H23" s="3"/>
      <c r="I23" s="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1"/>
      <c r="C24" s="1"/>
      <c r="D24" s="1"/>
      <c r="E24" s="3"/>
      <c r="F24" s="3"/>
      <c r="G24" s="3"/>
      <c r="H24" s="3"/>
      <c r="I24" s="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 t="s">
        <v>14</v>
      </c>
      <c r="B25" s="1" t="s">
        <v>67</v>
      </c>
      <c r="C25" s="1" t="s">
        <v>68</v>
      </c>
      <c r="D25" s="1" t="s">
        <v>69</v>
      </c>
      <c r="E25" s="3">
        <v>1.0</v>
      </c>
      <c r="F25" s="5">
        <f>G18</f>
        <v>46063</v>
      </c>
      <c r="G25" s="5">
        <f t="shared" ref="G25:G26" si="7">WORKDAY(F25,CEILING(E25,1)-1)</f>
        <v>46063</v>
      </c>
      <c r="H25" s="3"/>
      <c r="I25" s="1" t="s">
        <v>70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 t="s">
        <v>14</v>
      </c>
      <c r="B26" s="1" t="s">
        <v>67</v>
      </c>
      <c r="C26" s="1" t="s">
        <v>71</v>
      </c>
      <c r="D26" s="1" t="s">
        <v>72</v>
      </c>
      <c r="E26" s="3">
        <v>1.0</v>
      </c>
      <c r="F26" s="5">
        <f>G25</f>
        <v>46063</v>
      </c>
      <c r="G26" s="5">
        <f t="shared" si="7"/>
        <v>46063</v>
      </c>
      <c r="H26" s="3"/>
      <c r="I26" s="1" t="s">
        <v>73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1"/>
      <c r="C27" s="1"/>
      <c r="D27" s="1"/>
      <c r="E27" s="3"/>
      <c r="F27" s="5"/>
      <c r="G27" s="5"/>
      <c r="H27" s="3"/>
      <c r="I27" s="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 t="s">
        <v>14</v>
      </c>
      <c r="B28" s="1" t="s">
        <v>74</v>
      </c>
      <c r="C28" s="1" t="s">
        <v>75</v>
      </c>
      <c r="D28" s="1" t="s">
        <v>76</v>
      </c>
      <c r="E28" s="3">
        <v>1.0</v>
      </c>
      <c r="F28" s="5">
        <f>G26</f>
        <v>46063</v>
      </c>
      <c r="G28" s="5">
        <f t="shared" ref="G28:G30" si="8">WORKDAY(F28,CEILING(E28,1)-1)</f>
        <v>46063</v>
      </c>
      <c r="H28" s="3"/>
      <c r="I28" s="1" t="s">
        <v>77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 t="s">
        <v>14</v>
      </c>
      <c r="B29" s="1" t="s">
        <v>74</v>
      </c>
      <c r="C29" s="1" t="s">
        <v>78</v>
      </c>
      <c r="D29" s="1" t="s">
        <v>79</v>
      </c>
      <c r="E29" s="3">
        <v>1.0</v>
      </c>
      <c r="F29" s="5">
        <f t="shared" ref="F29:F30" si="9">G28</f>
        <v>46063</v>
      </c>
      <c r="G29" s="5">
        <f t="shared" si="8"/>
        <v>46063</v>
      </c>
      <c r="H29" s="3"/>
      <c r="I29" s="1" t="s">
        <v>77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 t="s">
        <v>14</v>
      </c>
      <c r="B30" s="1" t="s">
        <v>80</v>
      </c>
      <c r="C30" s="1" t="s">
        <v>81</v>
      </c>
      <c r="D30" s="1" t="s">
        <v>82</v>
      </c>
      <c r="E30" s="3">
        <v>2.0</v>
      </c>
      <c r="F30" s="5">
        <f t="shared" si="9"/>
        <v>46063</v>
      </c>
      <c r="G30" s="5">
        <f t="shared" si="8"/>
        <v>46064</v>
      </c>
      <c r="H30" s="3"/>
      <c r="I30" s="1" t="s">
        <v>83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1"/>
      <c r="C31" s="1"/>
      <c r="D31" s="1"/>
      <c r="E31" s="3"/>
      <c r="F31" s="5"/>
      <c r="G31" s="5"/>
      <c r="H31" s="3"/>
      <c r="I31" s="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 t="s">
        <v>32</v>
      </c>
      <c r="B32" s="1" t="s">
        <v>84</v>
      </c>
      <c r="C32" s="1" t="s">
        <v>85</v>
      </c>
      <c r="D32" s="1" t="s">
        <v>86</v>
      </c>
      <c r="E32" s="3">
        <v>1.0</v>
      </c>
      <c r="F32" s="5">
        <f>G30</f>
        <v>46064</v>
      </c>
      <c r="G32" s="5">
        <f>WORKDAY(F32,CEILING(E32,1)-1)</f>
        <v>46064</v>
      </c>
      <c r="H32" s="3"/>
      <c r="I32" s="1" t="s">
        <v>87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10.0"/>
    <col customWidth="1" min="3" max="3" width="65.14"/>
    <col customWidth="1" min="4" max="4" width="17.14"/>
    <col customWidth="1" min="5" max="5" width="18.43"/>
    <col customWidth="1" min="6" max="6" width="15.29"/>
    <col customWidth="1" min="7" max="7" width="20.86"/>
    <col customWidth="1" min="8" max="8" width="20.29"/>
    <col customWidth="1" min="9" max="9" width="9.57"/>
    <col customWidth="1" min="10" max="10" width="14.0"/>
  </cols>
  <sheetData>
    <row r="2">
      <c r="A2" s="6"/>
      <c r="B2" s="7" t="s">
        <v>88</v>
      </c>
      <c r="C2" s="8" t="s">
        <v>89</v>
      </c>
      <c r="D2" s="7" t="s">
        <v>90</v>
      </c>
      <c r="E2" s="7" t="s">
        <v>91</v>
      </c>
      <c r="F2" s="7" t="s">
        <v>92</v>
      </c>
      <c r="G2" s="7" t="s">
        <v>93</v>
      </c>
      <c r="H2" s="7" t="s">
        <v>94</v>
      </c>
      <c r="I2" s="7" t="s">
        <v>95</v>
      </c>
      <c r="J2" s="7" t="s">
        <v>96</v>
      </c>
    </row>
    <row r="3">
      <c r="A3" s="9">
        <v>1.0</v>
      </c>
      <c r="B3" s="10"/>
      <c r="C3" s="11" t="s">
        <v>97</v>
      </c>
      <c r="D3" s="12" t="s">
        <v>98</v>
      </c>
      <c r="E3" s="13" t="s">
        <v>99</v>
      </c>
      <c r="F3" s="14">
        <v>46028.0</v>
      </c>
      <c r="G3" s="14">
        <v>46141.0</v>
      </c>
      <c r="H3" s="15">
        <v>0.03</v>
      </c>
      <c r="I3" s="12" t="s">
        <v>100</v>
      </c>
      <c r="J3" s="16"/>
    </row>
    <row r="4">
      <c r="A4" s="9">
        <v>2.0</v>
      </c>
      <c r="B4" s="10"/>
      <c r="C4" s="11" t="s">
        <v>101</v>
      </c>
      <c r="D4" s="16"/>
      <c r="E4" s="13" t="s">
        <v>99</v>
      </c>
      <c r="F4" s="14">
        <v>46028.0</v>
      </c>
      <c r="G4" s="14">
        <v>46141.0</v>
      </c>
      <c r="H4" s="15">
        <v>0.03</v>
      </c>
      <c r="I4" s="12" t="s">
        <v>100</v>
      </c>
      <c r="J4" s="16"/>
    </row>
    <row r="5">
      <c r="A5" s="9">
        <v>3.0</v>
      </c>
      <c r="B5" s="10"/>
      <c r="C5" s="17" t="s">
        <v>102</v>
      </c>
      <c r="D5" s="18"/>
      <c r="E5" s="19"/>
      <c r="F5" s="20">
        <v>46028.0</v>
      </c>
      <c r="G5" s="20">
        <v>46028.0</v>
      </c>
      <c r="H5" s="21">
        <v>1.0</v>
      </c>
      <c r="I5" s="17" t="s">
        <v>103</v>
      </c>
      <c r="J5" s="16"/>
    </row>
    <row r="6">
      <c r="A6" s="9">
        <v>4.0</v>
      </c>
      <c r="B6" s="22"/>
      <c r="C6" s="23" t="s">
        <v>104</v>
      </c>
      <c r="D6" s="24" t="s">
        <v>105</v>
      </c>
      <c r="E6" s="25" t="s">
        <v>106</v>
      </c>
      <c r="F6" s="26">
        <v>46028.0</v>
      </c>
      <c r="G6" s="26">
        <v>46028.0</v>
      </c>
      <c r="H6" s="27">
        <v>1.0</v>
      </c>
      <c r="I6" s="23" t="s">
        <v>103</v>
      </c>
      <c r="J6" s="28"/>
    </row>
    <row r="7">
      <c r="A7" s="9">
        <v>5.0</v>
      </c>
      <c r="B7" s="22"/>
      <c r="C7" s="29" t="s">
        <v>107</v>
      </c>
      <c r="D7" s="30" t="s">
        <v>105</v>
      </c>
      <c r="E7" s="29" t="s">
        <v>106</v>
      </c>
      <c r="F7" s="31">
        <v>46028.0</v>
      </c>
      <c r="G7" s="31">
        <v>46028.0</v>
      </c>
      <c r="H7" s="32">
        <v>1.0</v>
      </c>
      <c r="I7" s="33">
        <v>0.0</v>
      </c>
      <c r="J7" s="28"/>
    </row>
    <row r="8">
      <c r="A8" s="9">
        <v>6.0</v>
      </c>
      <c r="B8" s="10"/>
      <c r="C8" s="17" t="s">
        <v>108</v>
      </c>
      <c r="D8" s="18"/>
      <c r="E8" s="19"/>
      <c r="F8" s="20">
        <v>46076.0</v>
      </c>
      <c r="G8" s="20">
        <v>46084.0</v>
      </c>
      <c r="H8" s="21">
        <v>0.0</v>
      </c>
      <c r="I8" s="17" t="s">
        <v>109</v>
      </c>
      <c r="J8" s="16"/>
    </row>
    <row r="9">
      <c r="A9" s="9">
        <v>7.0</v>
      </c>
      <c r="B9" s="10"/>
      <c r="C9" s="12" t="s">
        <v>110</v>
      </c>
      <c r="D9" s="12" t="s">
        <v>111</v>
      </c>
      <c r="E9" s="12" t="s">
        <v>112</v>
      </c>
      <c r="F9" s="34">
        <v>46080.0</v>
      </c>
      <c r="G9" s="34">
        <v>46080.0</v>
      </c>
      <c r="H9" s="35">
        <v>0.0</v>
      </c>
      <c r="I9" s="12" t="s">
        <v>103</v>
      </c>
      <c r="J9" s="16"/>
    </row>
    <row r="10">
      <c r="A10" s="9">
        <v>8.0</v>
      </c>
      <c r="B10" s="10"/>
      <c r="C10" s="12" t="s">
        <v>113</v>
      </c>
      <c r="D10" s="36" t="s">
        <v>111</v>
      </c>
      <c r="E10" s="12" t="s">
        <v>112</v>
      </c>
      <c r="F10" s="34">
        <v>46076.0</v>
      </c>
      <c r="G10" s="34">
        <v>46076.0</v>
      </c>
      <c r="H10" s="35">
        <v>0.0</v>
      </c>
      <c r="I10" s="12" t="s">
        <v>103</v>
      </c>
      <c r="J10" s="16"/>
    </row>
    <row r="11">
      <c r="A11" s="9">
        <v>9.0</v>
      </c>
      <c r="B11" s="10"/>
      <c r="C11" s="12" t="s">
        <v>114</v>
      </c>
      <c r="D11" s="12" t="s">
        <v>111</v>
      </c>
      <c r="E11" s="12" t="s">
        <v>112</v>
      </c>
      <c r="F11" s="34">
        <v>46077.0</v>
      </c>
      <c r="G11" s="34">
        <v>46077.0</v>
      </c>
      <c r="H11" s="35">
        <v>0.0</v>
      </c>
      <c r="I11" s="12" t="s">
        <v>103</v>
      </c>
      <c r="J11" s="16"/>
    </row>
    <row r="12">
      <c r="A12" s="9">
        <v>10.0</v>
      </c>
      <c r="B12" s="10"/>
      <c r="C12" s="12" t="s">
        <v>115</v>
      </c>
      <c r="D12" s="12" t="s">
        <v>111</v>
      </c>
      <c r="E12" s="12" t="s">
        <v>116</v>
      </c>
      <c r="F12" s="34">
        <v>46078.0</v>
      </c>
      <c r="G12" s="34">
        <v>46078.0</v>
      </c>
      <c r="H12" s="35">
        <v>0.0</v>
      </c>
      <c r="I12" s="12" t="s">
        <v>103</v>
      </c>
      <c r="J12" s="16"/>
    </row>
    <row r="13">
      <c r="A13" s="9">
        <v>11.0</v>
      </c>
      <c r="B13" s="10"/>
      <c r="C13" s="12" t="s">
        <v>117</v>
      </c>
      <c r="D13" s="36" t="s">
        <v>111</v>
      </c>
      <c r="E13" s="12" t="s">
        <v>112</v>
      </c>
      <c r="F13" s="34">
        <v>46079.0</v>
      </c>
      <c r="G13" s="34">
        <v>46079.0</v>
      </c>
      <c r="H13" s="35">
        <v>0.0</v>
      </c>
      <c r="I13" s="12" t="s">
        <v>103</v>
      </c>
      <c r="J13" s="16"/>
    </row>
    <row r="14">
      <c r="A14" s="9">
        <v>12.0</v>
      </c>
      <c r="B14" s="10"/>
      <c r="C14" s="11" t="s">
        <v>118</v>
      </c>
      <c r="D14" s="12" t="s">
        <v>111</v>
      </c>
      <c r="E14" s="12" t="s">
        <v>112</v>
      </c>
      <c r="F14" s="34">
        <v>46076.0</v>
      </c>
      <c r="G14" s="34">
        <v>46076.0</v>
      </c>
      <c r="H14" s="35">
        <v>0.0</v>
      </c>
      <c r="I14" s="12" t="s">
        <v>103</v>
      </c>
      <c r="J14" s="16"/>
    </row>
    <row r="15">
      <c r="A15" s="9">
        <v>13.0</v>
      </c>
      <c r="B15" s="10"/>
      <c r="C15" s="12" t="s">
        <v>119</v>
      </c>
      <c r="D15" s="12" t="s">
        <v>111</v>
      </c>
      <c r="E15" s="12" t="s">
        <v>116</v>
      </c>
      <c r="F15" s="34">
        <v>46083.0</v>
      </c>
      <c r="G15" s="34">
        <v>46083.0</v>
      </c>
      <c r="H15" s="35">
        <v>0.0</v>
      </c>
      <c r="I15" s="12" t="s">
        <v>103</v>
      </c>
      <c r="J15" s="12">
        <v>7.0</v>
      </c>
    </row>
    <row r="16">
      <c r="A16" s="9">
        <v>14.0</v>
      </c>
      <c r="B16" s="10"/>
      <c r="C16" s="12" t="s">
        <v>120</v>
      </c>
      <c r="D16" s="12" t="s">
        <v>111</v>
      </c>
      <c r="E16" s="12" t="s">
        <v>116</v>
      </c>
      <c r="F16" s="34">
        <v>46084.0</v>
      </c>
      <c r="G16" s="34">
        <v>46084.0</v>
      </c>
      <c r="H16" s="35">
        <v>0.0</v>
      </c>
      <c r="I16" s="12" t="s">
        <v>103</v>
      </c>
      <c r="J16" s="12">
        <v>13.0</v>
      </c>
    </row>
    <row r="17">
      <c r="A17" s="9">
        <v>15.0</v>
      </c>
      <c r="B17" s="22"/>
      <c r="C17" s="33" t="s">
        <v>121</v>
      </c>
      <c r="D17" s="33" t="s">
        <v>111</v>
      </c>
      <c r="E17" s="33" t="s">
        <v>99</v>
      </c>
      <c r="F17" s="31">
        <v>46084.0</v>
      </c>
      <c r="G17" s="31">
        <v>46084.0</v>
      </c>
      <c r="H17" s="32">
        <v>0.0</v>
      </c>
      <c r="I17" s="33">
        <v>0.0</v>
      </c>
      <c r="J17" s="23">
        <v>14.0</v>
      </c>
    </row>
    <row r="18">
      <c r="A18" s="9">
        <v>16.0</v>
      </c>
      <c r="B18" s="10"/>
      <c r="C18" s="17" t="s">
        <v>122</v>
      </c>
      <c r="D18" s="37"/>
      <c r="E18" s="37"/>
      <c r="F18" s="20">
        <v>46048.0</v>
      </c>
      <c r="G18" s="20">
        <v>46139.0</v>
      </c>
      <c r="H18" s="21">
        <v>0.02</v>
      </c>
      <c r="I18" s="17" t="s">
        <v>123</v>
      </c>
      <c r="J18" s="16"/>
    </row>
    <row r="19">
      <c r="A19" s="9">
        <v>17.0</v>
      </c>
      <c r="B19" s="10"/>
      <c r="C19" s="12" t="s">
        <v>124</v>
      </c>
      <c r="D19" s="12" t="s">
        <v>111</v>
      </c>
      <c r="E19" s="13" t="s">
        <v>99</v>
      </c>
      <c r="F19" s="34">
        <v>46048.0</v>
      </c>
      <c r="G19" s="34">
        <v>46052.0</v>
      </c>
      <c r="H19" s="35">
        <v>0.0</v>
      </c>
      <c r="I19" s="12" t="s">
        <v>125</v>
      </c>
      <c r="J19" s="16"/>
    </row>
    <row r="20">
      <c r="A20" s="9">
        <v>18.0</v>
      </c>
      <c r="B20" s="10"/>
      <c r="C20" s="12" t="s">
        <v>126</v>
      </c>
      <c r="D20" s="12" t="s">
        <v>111</v>
      </c>
      <c r="E20" s="13" t="s">
        <v>99</v>
      </c>
      <c r="F20" s="34">
        <v>46055.0</v>
      </c>
      <c r="G20" s="34">
        <v>46059.0</v>
      </c>
      <c r="H20" s="35">
        <v>0.0</v>
      </c>
      <c r="I20" s="12" t="s">
        <v>125</v>
      </c>
      <c r="J20" s="16"/>
    </row>
    <row r="21">
      <c r="A21" s="9">
        <v>19.0</v>
      </c>
      <c r="B21" s="38"/>
      <c r="C21" s="33" t="s">
        <v>127</v>
      </c>
      <c r="D21" s="33" t="s">
        <v>111</v>
      </c>
      <c r="E21" s="33" t="s">
        <v>112</v>
      </c>
      <c r="F21" s="31">
        <v>46059.0</v>
      </c>
      <c r="G21" s="31">
        <v>46059.0</v>
      </c>
      <c r="H21" s="32">
        <v>0.0</v>
      </c>
      <c r="I21" s="33">
        <v>0.0</v>
      </c>
      <c r="J21" s="33">
        <v>18.0</v>
      </c>
    </row>
    <row r="22">
      <c r="A22" s="9">
        <v>20.0</v>
      </c>
      <c r="B22" s="10"/>
      <c r="C22" s="17" t="s">
        <v>128</v>
      </c>
      <c r="D22" s="37"/>
      <c r="E22" s="37"/>
      <c r="F22" s="20">
        <v>46055.0</v>
      </c>
      <c r="G22" s="20">
        <v>46098.0</v>
      </c>
      <c r="H22" s="21">
        <v>0.04</v>
      </c>
      <c r="I22" s="17" t="s">
        <v>129</v>
      </c>
      <c r="J22" s="16"/>
    </row>
    <row r="23">
      <c r="A23" s="9">
        <v>21.0</v>
      </c>
      <c r="B23" s="10"/>
      <c r="C23" s="11" t="s">
        <v>130</v>
      </c>
      <c r="D23" s="12" t="s">
        <v>111</v>
      </c>
      <c r="E23" s="13" t="s">
        <v>99</v>
      </c>
      <c r="F23" s="14">
        <v>46055.0</v>
      </c>
      <c r="G23" s="14">
        <v>46055.0</v>
      </c>
      <c r="H23" s="15">
        <v>0.5</v>
      </c>
      <c r="I23" s="12" t="s">
        <v>103</v>
      </c>
      <c r="J23" s="16"/>
    </row>
    <row r="24">
      <c r="A24" s="9">
        <v>22.0</v>
      </c>
      <c r="B24" s="10"/>
      <c r="C24" s="12" t="s">
        <v>131</v>
      </c>
      <c r="D24" s="12" t="s">
        <v>111</v>
      </c>
      <c r="E24" s="12" t="s">
        <v>112</v>
      </c>
      <c r="F24" s="34">
        <v>46085.0</v>
      </c>
      <c r="G24" s="34">
        <v>46087.0</v>
      </c>
      <c r="H24" s="35">
        <v>0.0</v>
      </c>
      <c r="I24" s="12" t="s">
        <v>132</v>
      </c>
      <c r="J24" s="12">
        <v>15.0</v>
      </c>
    </row>
    <row r="25">
      <c r="A25" s="9">
        <v>23.0</v>
      </c>
      <c r="B25" s="10"/>
      <c r="C25" s="12" t="s">
        <v>133</v>
      </c>
      <c r="D25" s="12" t="s">
        <v>111</v>
      </c>
      <c r="E25" s="12" t="s">
        <v>112</v>
      </c>
      <c r="F25" s="34">
        <v>46090.0</v>
      </c>
      <c r="G25" s="34">
        <v>46092.0</v>
      </c>
      <c r="H25" s="35">
        <v>0.0</v>
      </c>
      <c r="I25" s="12" t="s">
        <v>132</v>
      </c>
      <c r="J25" s="12">
        <v>22.0</v>
      </c>
    </row>
    <row r="26">
      <c r="A26" s="9">
        <v>24.0</v>
      </c>
      <c r="B26" s="10"/>
      <c r="C26" s="12" t="s">
        <v>134</v>
      </c>
      <c r="D26" s="12" t="s">
        <v>111</v>
      </c>
      <c r="E26" s="12" t="s">
        <v>112</v>
      </c>
      <c r="F26" s="34">
        <v>46093.0</v>
      </c>
      <c r="G26" s="34">
        <v>46097.0</v>
      </c>
      <c r="H26" s="35">
        <v>0.0</v>
      </c>
      <c r="I26" s="12" t="s">
        <v>132</v>
      </c>
      <c r="J26" s="12">
        <v>23.0</v>
      </c>
    </row>
    <row r="27">
      <c r="A27" s="9">
        <v>25.0</v>
      </c>
      <c r="B27" s="10"/>
      <c r="C27" s="12" t="s">
        <v>135</v>
      </c>
      <c r="D27" s="12" t="s">
        <v>111</v>
      </c>
      <c r="E27" s="13" t="s">
        <v>99</v>
      </c>
      <c r="F27" s="34">
        <v>46098.0</v>
      </c>
      <c r="G27" s="34">
        <v>46098.0</v>
      </c>
      <c r="H27" s="35">
        <v>0.0</v>
      </c>
      <c r="I27" s="12" t="s">
        <v>103</v>
      </c>
      <c r="J27" s="12">
        <v>24.0</v>
      </c>
    </row>
    <row r="28">
      <c r="A28" s="9">
        <v>26.0</v>
      </c>
      <c r="B28" s="10"/>
      <c r="C28" s="12" t="s">
        <v>136</v>
      </c>
      <c r="D28" s="12" t="s">
        <v>111</v>
      </c>
      <c r="E28" s="12" t="s">
        <v>112</v>
      </c>
      <c r="F28" s="34">
        <v>46092.0</v>
      </c>
      <c r="G28" s="34">
        <v>46094.0</v>
      </c>
      <c r="H28" s="35">
        <v>0.0</v>
      </c>
      <c r="I28" s="12" t="s">
        <v>132</v>
      </c>
      <c r="J28" s="16"/>
    </row>
    <row r="29">
      <c r="A29" s="9">
        <v>27.0</v>
      </c>
      <c r="B29" s="22"/>
      <c r="C29" s="33" t="s">
        <v>137</v>
      </c>
      <c r="D29" s="33" t="s">
        <v>111</v>
      </c>
      <c r="E29" s="33" t="s">
        <v>99</v>
      </c>
      <c r="F29" s="31">
        <v>46098.0</v>
      </c>
      <c r="G29" s="31">
        <v>46098.0</v>
      </c>
      <c r="H29" s="32">
        <v>0.0</v>
      </c>
      <c r="I29" s="33">
        <v>0.0</v>
      </c>
      <c r="J29" s="23">
        <v>25.0</v>
      </c>
    </row>
    <row r="30">
      <c r="A30" s="9">
        <v>28.0</v>
      </c>
      <c r="B30" s="10"/>
      <c r="C30" s="17" t="s">
        <v>138</v>
      </c>
      <c r="D30" s="37"/>
      <c r="E30" s="37"/>
      <c r="F30" s="20">
        <v>46099.0</v>
      </c>
      <c r="G30" s="20">
        <v>46107.0</v>
      </c>
      <c r="H30" s="21">
        <v>0.0</v>
      </c>
      <c r="I30" s="17" t="s">
        <v>109</v>
      </c>
      <c r="J30" s="16"/>
    </row>
    <row r="31">
      <c r="A31" s="9">
        <v>29.0</v>
      </c>
      <c r="B31" s="10"/>
      <c r="C31" s="12" t="s">
        <v>139</v>
      </c>
      <c r="D31" s="12" t="s">
        <v>111</v>
      </c>
      <c r="E31" s="12" t="s">
        <v>99</v>
      </c>
      <c r="F31" s="34">
        <v>46099.0</v>
      </c>
      <c r="G31" s="34">
        <v>46100.0</v>
      </c>
      <c r="H31" s="35">
        <v>0.0</v>
      </c>
      <c r="I31" s="12" t="s">
        <v>140</v>
      </c>
      <c r="J31" s="12">
        <v>27.0</v>
      </c>
    </row>
    <row r="32">
      <c r="A32" s="9">
        <v>30.0</v>
      </c>
      <c r="B32" s="10"/>
      <c r="C32" s="11" t="s">
        <v>141</v>
      </c>
      <c r="D32" s="12" t="s">
        <v>111</v>
      </c>
      <c r="E32" s="12" t="s">
        <v>116</v>
      </c>
      <c r="F32" s="34">
        <v>46101.0</v>
      </c>
      <c r="G32" s="34">
        <v>46101.0</v>
      </c>
      <c r="H32" s="35">
        <v>0.0</v>
      </c>
      <c r="I32" s="12" t="s">
        <v>103</v>
      </c>
      <c r="J32" s="12">
        <v>29.0</v>
      </c>
    </row>
    <row r="33">
      <c r="A33" s="9">
        <v>31.0</v>
      </c>
      <c r="B33" s="10"/>
      <c r="C33" s="11" t="s">
        <v>142</v>
      </c>
      <c r="D33" s="12" t="s">
        <v>111</v>
      </c>
      <c r="E33" s="12" t="s">
        <v>116</v>
      </c>
      <c r="F33" s="34">
        <v>46104.0</v>
      </c>
      <c r="G33" s="34">
        <v>46104.0</v>
      </c>
      <c r="H33" s="35">
        <v>0.0</v>
      </c>
      <c r="I33" s="12" t="s">
        <v>103</v>
      </c>
      <c r="J33" s="12">
        <v>30.0</v>
      </c>
    </row>
    <row r="34">
      <c r="A34" s="9">
        <v>32.0</v>
      </c>
      <c r="B34" s="10"/>
      <c r="C34" s="11" t="s">
        <v>143</v>
      </c>
      <c r="D34" s="12" t="s">
        <v>111</v>
      </c>
      <c r="E34" s="12" t="s">
        <v>99</v>
      </c>
      <c r="F34" s="14">
        <v>46105.0</v>
      </c>
      <c r="G34" s="14">
        <v>46105.0</v>
      </c>
      <c r="H34" s="15">
        <v>0.0</v>
      </c>
      <c r="I34" s="12" t="s">
        <v>103</v>
      </c>
      <c r="J34" s="12">
        <v>31.0</v>
      </c>
    </row>
    <row r="35">
      <c r="A35" s="9">
        <v>33.0</v>
      </c>
      <c r="B35" s="10"/>
      <c r="C35" s="12" t="s">
        <v>144</v>
      </c>
      <c r="D35" s="12" t="s">
        <v>111</v>
      </c>
      <c r="E35" s="12" t="s">
        <v>99</v>
      </c>
      <c r="F35" s="14">
        <v>46106.0</v>
      </c>
      <c r="G35" s="14">
        <v>46106.0</v>
      </c>
      <c r="H35" s="15">
        <v>0.0</v>
      </c>
      <c r="I35" s="12" t="s">
        <v>103</v>
      </c>
      <c r="J35" s="12">
        <v>32.0</v>
      </c>
    </row>
    <row r="36">
      <c r="A36" s="9">
        <v>34.0</v>
      </c>
      <c r="B36" s="10"/>
      <c r="C36" s="11" t="s">
        <v>145</v>
      </c>
      <c r="D36" s="12" t="s">
        <v>111</v>
      </c>
      <c r="E36" s="12" t="s">
        <v>99</v>
      </c>
      <c r="F36" s="14">
        <v>46107.0</v>
      </c>
      <c r="G36" s="14">
        <v>46107.0</v>
      </c>
      <c r="H36" s="15">
        <v>0.0</v>
      </c>
      <c r="I36" s="12" t="s">
        <v>103</v>
      </c>
      <c r="J36" s="12">
        <v>33.0</v>
      </c>
    </row>
    <row r="37">
      <c r="A37" s="9">
        <v>35.0</v>
      </c>
      <c r="B37" s="22"/>
      <c r="C37" s="29" t="s">
        <v>146</v>
      </c>
      <c r="D37" s="33" t="s">
        <v>111</v>
      </c>
      <c r="E37" s="33" t="s">
        <v>99</v>
      </c>
      <c r="F37" s="39">
        <v>46107.0</v>
      </c>
      <c r="G37" s="39">
        <v>46107.0</v>
      </c>
      <c r="H37" s="40">
        <v>0.0</v>
      </c>
      <c r="I37" s="33">
        <v>0.0</v>
      </c>
      <c r="J37" s="23">
        <v>34.0</v>
      </c>
    </row>
    <row r="38">
      <c r="A38" s="9">
        <v>36.0</v>
      </c>
      <c r="B38" s="10"/>
      <c r="C38" s="17" t="s">
        <v>147</v>
      </c>
      <c r="D38" s="37"/>
      <c r="E38" s="37"/>
      <c r="F38" s="20">
        <v>46108.0</v>
      </c>
      <c r="G38" s="20">
        <v>46128.0</v>
      </c>
      <c r="H38" s="21">
        <v>0.0</v>
      </c>
      <c r="I38" s="17" t="s">
        <v>148</v>
      </c>
      <c r="J38" s="16"/>
    </row>
    <row r="39">
      <c r="A39" s="9">
        <v>37.0</v>
      </c>
      <c r="B39" s="10"/>
      <c r="C39" s="11" t="s">
        <v>149</v>
      </c>
      <c r="D39" s="12" t="s">
        <v>111</v>
      </c>
      <c r="E39" s="13" t="s">
        <v>99</v>
      </c>
      <c r="F39" s="14">
        <v>46108.0</v>
      </c>
      <c r="G39" s="14">
        <v>46108.0</v>
      </c>
      <c r="H39" s="41"/>
      <c r="I39" s="12" t="s">
        <v>103</v>
      </c>
      <c r="J39" s="12">
        <v>34.0</v>
      </c>
    </row>
    <row r="40">
      <c r="A40" s="9">
        <v>38.0</v>
      </c>
      <c r="B40" s="10"/>
      <c r="C40" s="12" t="s">
        <v>150</v>
      </c>
      <c r="D40" s="12" t="s">
        <v>111</v>
      </c>
      <c r="E40" s="13" t="s">
        <v>99</v>
      </c>
      <c r="F40" s="34">
        <v>46111.0</v>
      </c>
      <c r="G40" s="34">
        <v>46115.0</v>
      </c>
      <c r="H40" s="35">
        <v>0.0</v>
      </c>
      <c r="I40" s="12" t="s">
        <v>125</v>
      </c>
      <c r="J40" s="12">
        <v>37.0</v>
      </c>
    </row>
    <row r="41">
      <c r="A41" s="9">
        <v>39.0</v>
      </c>
      <c r="B41" s="10"/>
      <c r="C41" s="12" t="s">
        <v>151</v>
      </c>
      <c r="D41" s="12" t="s">
        <v>111</v>
      </c>
      <c r="E41" s="13" t="s">
        <v>99</v>
      </c>
      <c r="F41" s="34">
        <v>46118.0</v>
      </c>
      <c r="G41" s="34">
        <v>46119.0</v>
      </c>
      <c r="H41" s="35">
        <v>0.0</v>
      </c>
      <c r="I41" s="12" t="s">
        <v>140</v>
      </c>
      <c r="J41" s="12">
        <v>38.0</v>
      </c>
    </row>
    <row r="42">
      <c r="A42" s="9">
        <v>40.0</v>
      </c>
      <c r="B42" s="10"/>
      <c r="C42" s="12" t="s">
        <v>152</v>
      </c>
      <c r="D42" s="12" t="s">
        <v>111</v>
      </c>
      <c r="E42" s="13" t="s">
        <v>99</v>
      </c>
      <c r="F42" s="34">
        <v>46120.0</v>
      </c>
      <c r="G42" s="34">
        <v>46120.0</v>
      </c>
      <c r="H42" s="35">
        <v>0.0</v>
      </c>
      <c r="I42" s="12" t="s">
        <v>103</v>
      </c>
      <c r="J42" s="12">
        <v>39.0</v>
      </c>
    </row>
    <row r="43">
      <c r="A43" s="9">
        <v>41.0</v>
      </c>
      <c r="B43" s="10"/>
      <c r="C43" s="12" t="s">
        <v>153</v>
      </c>
      <c r="D43" s="12" t="s">
        <v>111</v>
      </c>
      <c r="E43" s="13" t="s">
        <v>99</v>
      </c>
      <c r="F43" s="34">
        <v>46121.0</v>
      </c>
      <c r="G43" s="34">
        <v>46122.0</v>
      </c>
      <c r="H43" s="35">
        <v>0.0</v>
      </c>
      <c r="I43" s="12" t="s">
        <v>140</v>
      </c>
      <c r="J43" s="12">
        <v>40.0</v>
      </c>
    </row>
    <row r="44">
      <c r="A44" s="9">
        <v>42.0</v>
      </c>
      <c r="B44" s="10"/>
      <c r="C44" s="12" t="s">
        <v>154</v>
      </c>
      <c r="D44" s="12" t="s">
        <v>111</v>
      </c>
      <c r="E44" s="12" t="s">
        <v>116</v>
      </c>
      <c r="F44" s="34">
        <v>46125.0</v>
      </c>
      <c r="G44" s="34">
        <v>46125.0</v>
      </c>
      <c r="H44" s="35">
        <v>0.0</v>
      </c>
      <c r="I44" s="12" t="s">
        <v>103</v>
      </c>
      <c r="J44" s="12">
        <v>41.0</v>
      </c>
    </row>
    <row r="45">
      <c r="A45" s="9">
        <v>43.0</v>
      </c>
      <c r="B45" s="10"/>
      <c r="C45" s="12" t="s">
        <v>155</v>
      </c>
      <c r="D45" s="12" t="s">
        <v>111</v>
      </c>
      <c r="E45" s="13" t="s">
        <v>99</v>
      </c>
      <c r="F45" s="34">
        <v>46126.0</v>
      </c>
      <c r="G45" s="34">
        <v>46127.0</v>
      </c>
      <c r="H45" s="35">
        <v>0.0</v>
      </c>
      <c r="I45" s="12" t="s">
        <v>140</v>
      </c>
      <c r="J45" s="12">
        <v>42.0</v>
      </c>
    </row>
    <row r="46">
      <c r="A46" s="9">
        <v>44.0</v>
      </c>
      <c r="B46" s="10"/>
      <c r="C46" s="12" t="s">
        <v>156</v>
      </c>
      <c r="D46" s="12" t="s">
        <v>111</v>
      </c>
      <c r="E46" s="12" t="s">
        <v>116</v>
      </c>
      <c r="F46" s="34">
        <v>46128.0</v>
      </c>
      <c r="G46" s="34">
        <v>46128.0</v>
      </c>
      <c r="H46" s="35">
        <v>0.0</v>
      </c>
      <c r="I46" s="12" t="s">
        <v>103</v>
      </c>
      <c r="J46" s="12">
        <v>43.0</v>
      </c>
    </row>
    <row r="47">
      <c r="A47" s="9">
        <v>45.0</v>
      </c>
      <c r="B47" s="22"/>
      <c r="C47" s="33" t="s">
        <v>157</v>
      </c>
      <c r="D47" s="33" t="s">
        <v>111</v>
      </c>
      <c r="E47" s="33" t="s">
        <v>99</v>
      </c>
      <c r="F47" s="31">
        <v>46128.0</v>
      </c>
      <c r="G47" s="31">
        <v>46128.0</v>
      </c>
      <c r="H47" s="32">
        <v>0.0</v>
      </c>
      <c r="I47" s="33">
        <v>0.0</v>
      </c>
      <c r="J47" s="23">
        <v>44.0</v>
      </c>
    </row>
    <row r="48">
      <c r="A48" s="9">
        <v>46.0</v>
      </c>
      <c r="B48" s="10"/>
      <c r="C48" s="17" t="s">
        <v>158</v>
      </c>
      <c r="D48" s="37"/>
      <c r="E48" s="37"/>
      <c r="F48" s="20">
        <v>46101.0</v>
      </c>
      <c r="G48" s="20">
        <v>46108.0</v>
      </c>
      <c r="H48" s="21">
        <v>0.0</v>
      </c>
      <c r="I48" s="17" t="s">
        <v>159</v>
      </c>
      <c r="J48" s="16"/>
    </row>
    <row r="49">
      <c r="A49" s="9">
        <v>47.0</v>
      </c>
      <c r="B49" s="10"/>
      <c r="C49" s="11" t="s">
        <v>160</v>
      </c>
      <c r="D49" s="12" t="s">
        <v>111</v>
      </c>
      <c r="E49" s="13" t="s">
        <v>99</v>
      </c>
      <c r="F49" s="14">
        <v>46108.0</v>
      </c>
      <c r="G49" s="14">
        <v>46108.0</v>
      </c>
      <c r="H49" s="15">
        <v>0.0</v>
      </c>
      <c r="I49" s="12" t="s">
        <v>103</v>
      </c>
      <c r="J49" s="12">
        <v>35.0</v>
      </c>
    </row>
    <row r="50">
      <c r="A50" s="9">
        <v>48.0</v>
      </c>
      <c r="B50" s="10"/>
      <c r="C50" s="12" t="s">
        <v>161</v>
      </c>
      <c r="D50" s="12" t="s">
        <v>111</v>
      </c>
      <c r="E50" s="13" t="s">
        <v>99</v>
      </c>
      <c r="F50" s="34">
        <v>46101.0</v>
      </c>
      <c r="G50" s="34">
        <v>46101.0</v>
      </c>
      <c r="H50" s="35">
        <v>0.0</v>
      </c>
      <c r="I50" s="12" t="s">
        <v>103</v>
      </c>
      <c r="J50" s="12">
        <v>29.0</v>
      </c>
    </row>
    <row r="51">
      <c r="A51" s="9">
        <v>49.0</v>
      </c>
      <c r="B51" s="10"/>
      <c r="C51" s="12" t="s">
        <v>162</v>
      </c>
      <c r="D51" s="12" t="s">
        <v>111</v>
      </c>
      <c r="E51" s="13" t="s">
        <v>99</v>
      </c>
      <c r="F51" s="34">
        <v>46104.0</v>
      </c>
      <c r="G51" s="34">
        <v>46106.0</v>
      </c>
      <c r="H51" s="35">
        <v>0.0</v>
      </c>
      <c r="I51" s="12" t="s">
        <v>132</v>
      </c>
      <c r="J51" s="12">
        <v>48.0</v>
      </c>
    </row>
    <row r="52">
      <c r="A52" s="9">
        <v>50.0</v>
      </c>
      <c r="B52" s="10"/>
      <c r="C52" s="12" t="s">
        <v>163</v>
      </c>
      <c r="D52" s="12" t="s">
        <v>111</v>
      </c>
      <c r="E52" s="13" t="s">
        <v>99</v>
      </c>
      <c r="F52" s="16"/>
      <c r="G52" s="16"/>
      <c r="H52" s="35">
        <v>0.0</v>
      </c>
      <c r="I52" s="12" t="s">
        <v>103</v>
      </c>
      <c r="J52" s="16"/>
    </row>
    <row r="53">
      <c r="A53" s="9">
        <v>51.0</v>
      </c>
      <c r="B53" s="10"/>
      <c r="C53" s="12" t="s">
        <v>155</v>
      </c>
      <c r="D53" s="12" t="s">
        <v>111</v>
      </c>
      <c r="E53" s="13" t="s">
        <v>99</v>
      </c>
      <c r="F53" s="34">
        <v>46104.0</v>
      </c>
      <c r="G53" s="34">
        <v>46105.0</v>
      </c>
      <c r="H53" s="35">
        <v>0.0</v>
      </c>
      <c r="I53" s="12" t="s">
        <v>140</v>
      </c>
      <c r="J53" s="12">
        <v>30.0</v>
      </c>
    </row>
    <row r="54">
      <c r="A54" s="9">
        <v>52.0</v>
      </c>
      <c r="B54" s="10"/>
      <c r="C54" s="12" t="s">
        <v>156</v>
      </c>
      <c r="D54" s="12" t="s">
        <v>111</v>
      </c>
      <c r="E54" s="12" t="s">
        <v>116</v>
      </c>
      <c r="F54" s="34">
        <v>46106.0</v>
      </c>
      <c r="G54" s="34">
        <v>46106.0</v>
      </c>
      <c r="H54" s="35">
        <v>0.0</v>
      </c>
      <c r="I54" s="12" t="s">
        <v>103</v>
      </c>
      <c r="J54" s="12">
        <v>51.0</v>
      </c>
    </row>
    <row r="55">
      <c r="A55" s="9">
        <v>53.0</v>
      </c>
      <c r="B55" s="22"/>
      <c r="C55" s="29" t="s">
        <v>146</v>
      </c>
      <c r="D55" s="33" t="s">
        <v>111</v>
      </c>
      <c r="E55" s="33" t="s">
        <v>99</v>
      </c>
      <c r="F55" s="39">
        <v>46106.0</v>
      </c>
      <c r="G55" s="39">
        <v>46106.0</v>
      </c>
      <c r="H55" s="40">
        <v>0.0</v>
      </c>
      <c r="I55" s="33">
        <v>0.0</v>
      </c>
      <c r="J55" s="23">
        <v>52.0</v>
      </c>
    </row>
    <row r="56">
      <c r="A56" s="9">
        <v>54.0</v>
      </c>
      <c r="B56" s="10"/>
      <c r="C56" s="17" t="s">
        <v>164</v>
      </c>
      <c r="D56" s="37"/>
      <c r="E56" s="37"/>
      <c r="F56" s="20">
        <v>46129.0</v>
      </c>
      <c r="G56" s="20">
        <v>46136.0</v>
      </c>
      <c r="H56" s="21">
        <v>0.0</v>
      </c>
      <c r="I56" s="17" t="s">
        <v>165</v>
      </c>
      <c r="J56" s="16"/>
    </row>
    <row r="57">
      <c r="A57" s="9">
        <v>55.0</v>
      </c>
      <c r="B57" s="10"/>
      <c r="C57" s="12" t="s">
        <v>166</v>
      </c>
      <c r="D57" s="12" t="s">
        <v>111</v>
      </c>
      <c r="E57" s="12" t="s">
        <v>116</v>
      </c>
      <c r="F57" s="34">
        <v>46129.0</v>
      </c>
      <c r="G57" s="34">
        <v>46129.0</v>
      </c>
      <c r="H57" s="35">
        <v>0.0</v>
      </c>
      <c r="I57" s="12" t="s">
        <v>167</v>
      </c>
      <c r="J57" s="12" t="s">
        <v>168</v>
      </c>
    </row>
    <row r="58">
      <c r="A58" s="9">
        <v>56.0</v>
      </c>
      <c r="B58" s="10"/>
      <c r="C58" s="12" t="s">
        <v>169</v>
      </c>
      <c r="D58" s="12" t="s">
        <v>111</v>
      </c>
      <c r="E58" s="12" t="s">
        <v>116</v>
      </c>
      <c r="F58" s="34">
        <v>46129.0</v>
      </c>
      <c r="G58" s="34">
        <v>46129.0</v>
      </c>
      <c r="H58" s="35">
        <v>0.0</v>
      </c>
      <c r="I58" s="12" t="s">
        <v>103</v>
      </c>
      <c r="J58" s="12">
        <v>45.0</v>
      </c>
    </row>
    <row r="59">
      <c r="A59" s="9">
        <v>57.0</v>
      </c>
      <c r="B59" s="10"/>
      <c r="C59" s="12" t="s">
        <v>170</v>
      </c>
      <c r="D59" s="12" t="s">
        <v>111</v>
      </c>
      <c r="E59" s="12" t="s">
        <v>116</v>
      </c>
      <c r="F59" s="34">
        <v>46129.0</v>
      </c>
      <c r="G59" s="34">
        <v>46129.0</v>
      </c>
      <c r="H59" s="35">
        <v>0.0</v>
      </c>
      <c r="I59" s="12" t="s">
        <v>167</v>
      </c>
      <c r="J59" s="12">
        <v>45.0</v>
      </c>
    </row>
    <row r="60">
      <c r="A60" s="9">
        <v>58.0</v>
      </c>
      <c r="B60" s="10"/>
      <c r="C60" s="12" t="s">
        <v>171</v>
      </c>
      <c r="D60" s="12" t="s">
        <v>111</v>
      </c>
      <c r="E60" s="12" t="s">
        <v>116</v>
      </c>
      <c r="F60" s="34">
        <v>46129.0</v>
      </c>
      <c r="G60" s="34">
        <v>46133.0</v>
      </c>
      <c r="H60" s="35">
        <v>0.0</v>
      </c>
      <c r="I60" s="12" t="s">
        <v>140</v>
      </c>
      <c r="J60" s="12">
        <v>57.0</v>
      </c>
    </row>
    <row r="61">
      <c r="A61" s="9">
        <v>59.0</v>
      </c>
      <c r="B61" s="10"/>
      <c r="C61" s="12" t="s">
        <v>172</v>
      </c>
      <c r="D61" s="12" t="s">
        <v>111</v>
      </c>
      <c r="E61" s="12" t="s">
        <v>116</v>
      </c>
      <c r="F61" s="34">
        <v>46133.0</v>
      </c>
      <c r="G61" s="34">
        <v>46134.0</v>
      </c>
      <c r="H61" s="35">
        <v>0.0</v>
      </c>
      <c r="I61" s="12" t="s">
        <v>103</v>
      </c>
      <c r="J61" s="12">
        <v>58.0</v>
      </c>
    </row>
    <row r="62">
      <c r="A62" s="9">
        <v>60.0</v>
      </c>
      <c r="B62" s="10"/>
      <c r="C62" s="12" t="s">
        <v>173</v>
      </c>
      <c r="D62" s="12" t="s">
        <v>111</v>
      </c>
      <c r="E62" s="12" t="s">
        <v>116</v>
      </c>
      <c r="F62" s="34">
        <v>46134.0</v>
      </c>
      <c r="G62" s="34">
        <v>46135.0</v>
      </c>
      <c r="H62" s="35">
        <v>0.0</v>
      </c>
      <c r="I62" s="12" t="s">
        <v>103</v>
      </c>
      <c r="J62" s="12">
        <v>59.0</v>
      </c>
    </row>
    <row r="63">
      <c r="A63" s="9">
        <v>61.0</v>
      </c>
      <c r="B63" s="10"/>
      <c r="C63" s="12" t="s">
        <v>174</v>
      </c>
      <c r="D63" s="12" t="s">
        <v>111</v>
      </c>
      <c r="E63" s="12" t="s">
        <v>116</v>
      </c>
      <c r="F63" s="34">
        <v>46135.0</v>
      </c>
      <c r="G63" s="34">
        <v>46136.0</v>
      </c>
      <c r="H63" s="35">
        <v>0.0</v>
      </c>
      <c r="I63" s="12" t="s">
        <v>103</v>
      </c>
      <c r="J63" s="12">
        <v>60.0</v>
      </c>
    </row>
    <row r="64">
      <c r="A64" s="9">
        <v>62.0</v>
      </c>
      <c r="B64" s="22"/>
      <c r="C64" s="33" t="s">
        <v>175</v>
      </c>
      <c r="D64" s="33" t="s">
        <v>111</v>
      </c>
      <c r="E64" s="33" t="s">
        <v>99</v>
      </c>
      <c r="F64" s="31">
        <v>46136.0</v>
      </c>
      <c r="G64" s="31">
        <v>46136.0</v>
      </c>
      <c r="H64" s="32">
        <v>0.0</v>
      </c>
      <c r="I64" s="33">
        <v>0.0</v>
      </c>
      <c r="J64" s="23">
        <v>61.0</v>
      </c>
    </row>
    <row r="65">
      <c r="A65" s="9">
        <v>63.0</v>
      </c>
      <c r="B65" s="10"/>
      <c r="C65" s="17" t="s">
        <v>176</v>
      </c>
      <c r="D65" s="37"/>
      <c r="E65" s="37"/>
      <c r="F65" s="20">
        <v>46129.0</v>
      </c>
      <c r="G65" s="20">
        <v>46139.0</v>
      </c>
      <c r="H65" s="21">
        <v>0.0</v>
      </c>
      <c r="I65" s="17" t="s">
        <v>109</v>
      </c>
      <c r="J65" s="16"/>
    </row>
    <row r="66">
      <c r="A66" s="9">
        <v>64.0</v>
      </c>
      <c r="B66" s="10"/>
      <c r="C66" s="12" t="s">
        <v>177</v>
      </c>
      <c r="D66" s="12" t="s">
        <v>111</v>
      </c>
      <c r="E66" s="12" t="s">
        <v>116</v>
      </c>
      <c r="F66" s="34">
        <v>46129.0</v>
      </c>
      <c r="G66" s="34">
        <v>46129.0</v>
      </c>
      <c r="H66" s="35">
        <v>0.0</v>
      </c>
      <c r="I66" s="12" t="s">
        <v>167</v>
      </c>
      <c r="J66" s="12" t="s">
        <v>168</v>
      </c>
    </row>
    <row r="67">
      <c r="A67" s="9">
        <v>65.0</v>
      </c>
      <c r="B67" s="10"/>
      <c r="C67" s="12" t="s">
        <v>178</v>
      </c>
      <c r="D67" s="12" t="s">
        <v>111</v>
      </c>
      <c r="E67" s="12" t="s">
        <v>116</v>
      </c>
      <c r="F67" s="34">
        <v>46129.0</v>
      </c>
      <c r="G67" s="34">
        <v>46129.0</v>
      </c>
      <c r="H67" s="35">
        <v>0.0</v>
      </c>
      <c r="I67" s="12" t="s">
        <v>167</v>
      </c>
      <c r="J67" s="12">
        <v>64.0</v>
      </c>
    </row>
    <row r="68">
      <c r="A68" s="9">
        <v>66.0</v>
      </c>
      <c r="B68" s="10"/>
      <c r="C68" s="12" t="s">
        <v>179</v>
      </c>
      <c r="D68" s="12" t="s">
        <v>111</v>
      </c>
      <c r="E68" s="12" t="s">
        <v>116</v>
      </c>
      <c r="F68" s="34">
        <v>46132.0</v>
      </c>
      <c r="G68" s="34">
        <v>46132.0</v>
      </c>
      <c r="H68" s="35">
        <v>0.0</v>
      </c>
      <c r="I68" s="12" t="s">
        <v>103</v>
      </c>
      <c r="J68" s="12">
        <v>65.0</v>
      </c>
    </row>
    <row r="69">
      <c r="A69" s="9">
        <v>67.0</v>
      </c>
      <c r="B69" s="10"/>
      <c r="C69" s="12" t="s">
        <v>180</v>
      </c>
      <c r="D69" s="12" t="s">
        <v>111</v>
      </c>
      <c r="E69" s="12" t="s">
        <v>116</v>
      </c>
      <c r="F69" s="34">
        <v>46133.0</v>
      </c>
      <c r="G69" s="34">
        <v>46133.0</v>
      </c>
      <c r="H69" s="35">
        <v>0.0</v>
      </c>
      <c r="I69" s="12" t="s">
        <v>103</v>
      </c>
      <c r="J69" s="12">
        <v>66.0</v>
      </c>
    </row>
    <row r="70">
      <c r="A70" s="9">
        <v>68.0</v>
      </c>
      <c r="B70" s="10"/>
      <c r="C70" s="12" t="s">
        <v>181</v>
      </c>
      <c r="D70" s="12" t="s">
        <v>111</v>
      </c>
      <c r="E70" s="12" t="s">
        <v>116</v>
      </c>
      <c r="F70" s="34">
        <v>46134.0</v>
      </c>
      <c r="G70" s="34">
        <v>46134.0</v>
      </c>
      <c r="H70" s="35">
        <v>0.0</v>
      </c>
      <c r="I70" s="12" t="s">
        <v>103</v>
      </c>
      <c r="J70" s="12">
        <v>67.0</v>
      </c>
    </row>
    <row r="71">
      <c r="A71" s="9">
        <v>69.0</v>
      </c>
      <c r="B71" s="10"/>
      <c r="C71" s="11" t="s">
        <v>182</v>
      </c>
      <c r="D71" s="12" t="s">
        <v>111</v>
      </c>
      <c r="E71" s="12" t="s">
        <v>116</v>
      </c>
      <c r="F71" s="34">
        <v>46135.0</v>
      </c>
      <c r="G71" s="34">
        <v>46135.0</v>
      </c>
      <c r="H71" s="35">
        <v>0.0</v>
      </c>
      <c r="I71" s="12" t="s">
        <v>103</v>
      </c>
      <c r="J71" s="12">
        <v>68.0</v>
      </c>
    </row>
    <row r="72">
      <c r="A72" s="9">
        <v>70.0</v>
      </c>
      <c r="B72" s="10"/>
      <c r="C72" s="11" t="s">
        <v>183</v>
      </c>
      <c r="D72" s="12" t="s">
        <v>111</v>
      </c>
      <c r="E72" s="13" t="s">
        <v>99</v>
      </c>
      <c r="F72" s="14">
        <v>46136.0</v>
      </c>
      <c r="G72" s="14">
        <v>46136.0</v>
      </c>
      <c r="H72" s="15">
        <v>0.0</v>
      </c>
      <c r="I72" s="12" t="s">
        <v>103</v>
      </c>
      <c r="J72" s="12">
        <v>69.0</v>
      </c>
    </row>
    <row r="73">
      <c r="A73" s="9">
        <v>71.0</v>
      </c>
      <c r="B73" s="10"/>
      <c r="C73" s="12" t="s">
        <v>184</v>
      </c>
      <c r="D73" s="12" t="s">
        <v>111</v>
      </c>
      <c r="E73" s="13" t="s">
        <v>112</v>
      </c>
      <c r="F73" s="14">
        <v>46139.0</v>
      </c>
      <c r="G73" s="14">
        <v>46139.0</v>
      </c>
      <c r="H73" s="15">
        <v>0.0</v>
      </c>
      <c r="I73" s="12" t="s">
        <v>103</v>
      </c>
      <c r="J73" s="12">
        <v>70.0</v>
      </c>
    </row>
    <row r="74">
      <c r="A74" s="9">
        <v>72.0</v>
      </c>
      <c r="B74" s="22"/>
      <c r="C74" s="33" t="s">
        <v>185</v>
      </c>
      <c r="D74" s="33" t="s">
        <v>111</v>
      </c>
      <c r="E74" s="33" t="s">
        <v>99</v>
      </c>
      <c r="F74" s="31">
        <v>46139.0</v>
      </c>
      <c r="G74" s="31">
        <v>46139.0</v>
      </c>
      <c r="H74" s="32">
        <v>0.0</v>
      </c>
      <c r="I74" s="33">
        <v>0.0</v>
      </c>
      <c r="J74" s="23">
        <v>71.0</v>
      </c>
    </row>
    <row r="75">
      <c r="A75" s="9">
        <v>73.0</v>
      </c>
      <c r="B75" s="10"/>
      <c r="C75" s="17" t="s">
        <v>186</v>
      </c>
      <c r="D75" s="37"/>
      <c r="E75" s="37"/>
      <c r="F75" s="20">
        <v>46140.0</v>
      </c>
      <c r="G75" s="20">
        <v>46141.0</v>
      </c>
      <c r="H75" s="21">
        <v>0.0</v>
      </c>
      <c r="I75" s="17" t="s">
        <v>140</v>
      </c>
      <c r="J75" s="16"/>
    </row>
    <row r="76">
      <c r="A76" s="9">
        <v>74.0</v>
      </c>
      <c r="B76" s="10"/>
      <c r="C76" s="12" t="s">
        <v>187</v>
      </c>
      <c r="D76" s="12" t="s">
        <v>111</v>
      </c>
      <c r="E76" s="12" t="s">
        <v>116</v>
      </c>
      <c r="F76" s="34">
        <v>46140.0</v>
      </c>
      <c r="G76" s="34">
        <v>46140.0</v>
      </c>
      <c r="H76" s="35">
        <v>0.0</v>
      </c>
      <c r="I76" s="12" t="s">
        <v>103</v>
      </c>
      <c r="J76" s="12">
        <v>72.0</v>
      </c>
    </row>
    <row r="77">
      <c r="A77" s="9">
        <v>75.0</v>
      </c>
      <c r="B77" s="10"/>
      <c r="C77" s="12" t="s">
        <v>188</v>
      </c>
      <c r="D77" s="12" t="s">
        <v>111</v>
      </c>
      <c r="E77" s="12" t="s">
        <v>116</v>
      </c>
      <c r="F77" s="34">
        <v>46141.0</v>
      </c>
      <c r="G77" s="34">
        <v>46141.0</v>
      </c>
      <c r="H77" s="35">
        <v>0.0</v>
      </c>
      <c r="I77" s="12" t="s">
        <v>103</v>
      </c>
      <c r="J77" s="12">
        <v>74.0</v>
      </c>
    </row>
    <row r="78">
      <c r="A78" s="9">
        <v>76.0</v>
      </c>
      <c r="B78" s="22"/>
      <c r="C78" s="33" t="s">
        <v>189</v>
      </c>
      <c r="D78" s="33" t="s">
        <v>111</v>
      </c>
      <c r="E78" s="33" t="s">
        <v>116</v>
      </c>
      <c r="F78" s="31">
        <v>46140.0</v>
      </c>
      <c r="G78" s="31">
        <v>46140.0</v>
      </c>
      <c r="H78" s="32">
        <v>0.0</v>
      </c>
      <c r="I78" s="33">
        <v>0.0</v>
      </c>
      <c r="J78" s="28"/>
    </row>
    <row r="79">
      <c r="A79" s="9">
        <v>77.0</v>
      </c>
      <c r="B79" s="42"/>
      <c r="C79" s="42"/>
      <c r="D79" s="43"/>
      <c r="E79" s="42"/>
      <c r="F79" s="42"/>
      <c r="G79" s="42"/>
      <c r="H79" s="41"/>
      <c r="I79" s="16"/>
      <c r="J79" s="16"/>
    </row>
    <row r="80">
      <c r="A80" s="9">
        <v>78.0</v>
      </c>
      <c r="B80" s="42"/>
      <c r="C80" s="42"/>
      <c r="D80" s="43"/>
      <c r="E80" s="42"/>
      <c r="F80" s="42"/>
      <c r="G80" s="42"/>
      <c r="H80" s="41"/>
      <c r="I80" s="16"/>
      <c r="J80" s="16"/>
    </row>
    <row r="81">
      <c r="A81" s="9">
        <v>79.0</v>
      </c>
      <c r="B81" s="42"/>
      <c r="C81" s="42"/>
      <c r="D81" s="43"/>
      <c r="E81" s="16"/>
      <c r="F81" s="42"/>
      <c r="G81" s="42"/>
      <c r="H81" s="41"/>
      <c r="I81" s="16"/>
      <c r="J81" s="16"/>
    </row>
    <row r="82">
      <c r="A82" s="9">
        <v>80.0</v>
      </c>
      <c r="B82" s="42"/>
      <c r="C82" s="42"/>
      <c r="D82" s="43"/>
      <c r="E82" s="16"/>
      <c r="F82" s="42"/>
      <c r="G82" s="42"/>
      <c r="H82" s="41"/>
      <c r="I82" s="16"/>
      <c r="J82" s="1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2026-01-12T15:59:39Z</dcterms:created>
  <dc:creator>openpyxl</dc:creator>
</cp:coreProperties>
</file>